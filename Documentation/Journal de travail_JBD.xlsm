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</calcChain>
</file>

<file path=xl/sharedStrings.xml><?xml version="1.0" encoding="utf-8"?>
<sst xmlns="http://schemas.openxmlformats.org/spreadsheetml/2006/main" count="118" uniqueCount="45">
  <si>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</si>
  <si>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</si>
  <si>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</si>
  <si>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</si>
  <si>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</si>
  <si>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</si>
  <si>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</si>
  <si>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</si>
  <si>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</si>
  <si>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</si>
  <si>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</si>
  <si>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</si>
  <si>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</si>
  <si>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</si>
  <si>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Réalisé par: Jessy Borcard</t>
  </si>
  <si>
    <t>Classe: SC-Ci4b</t>
  </si>
  <si>
    <t>PROJET: Touhou Adventure</t>
  </si>
  <si>
    <t>manutention du journal de bord</t>
  </si>
  <si>
    <t>deboggage</t>
  </si>
  <si>
    <t>Création des uses cases et scénarios</t>
  </si>
  <si>
    <t>Aide au camarades</t>
  </si>
  <si>
    <t>création du code pour la système de pêche</t>
  </si>
  <si>
    <t xml:space="preserve">Aide </t>
  </si>
  <si>
    <t>application des poisson, et pêche aléatoire</t>
  </si>
  <si>
    <t>adaptation de l'ui pour le système de vente</t>
  </si>
  <si>
    <t>création du système de vente</t>
  </si>
  <si>
    <t>création du système de level</t>
  </si>
  <si>
    <t>Sauvegarde des niveaux et XP</t>
  </si>
  <si>
    <t>création du système de création de bombes</t>
  </si>
  <si>
    <t>création de l'ui pour le système de level</t>
  </si>
  <si>
    <t>mise à jour des tâches, ice scrum et sprints</t>
  </si>
  <si>
    <t>création de tests</t>
  </si>
  <si>
    <t>création de l'ui pour le système de bombes</t>
  </si>
  <si>
    <t>Test unitaire sur le système de pêche</t>
  </si>
  <si>
    <t>modification des colliders des projectiles</t>
  </si>
  <si>
    <t>création du système de random pour la pêche</t>
  </si>
  <si>
    <t>création des uses cases et scénario</t>
  </si>
  <si>
    <t>Création des tâches sur IceScrum</t>
  </si>
  <si>
    <t>Création de l'UI pour le système de pêche</t>
  </si>
  <si>
    <t>Création du projet sur Ice Scrum</t>
  </si>
  <si>
    <t>Création du journal de bord</t>
  </si>
  <si>
    <t>problèmes lié avec les références des packages</t>
  </si>
  <si>
    <t>mise à propre du journal de bord</t>
  </si>
  <si>
    <t>problèmes avec github</t>
  </si>
  <si>
    <t>problèmes lie au références LFS, création d'un nouveau dépôt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</si>
</sst>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NumberFormat="1"/>
    <xf numFmtId="16" fontId="0" fillId="0" borderId="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28575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651.635635185186" createdVersion="4" refreshedVersion="6" minRefreshableVersion="3" recordCount="46">
  <cacheSource type="worksheet">
    <worksheetSource ref="A6:D52" sheet="Journal"/>
  </cacheSource>
  <cacheFields count="4">
    <cacheField name="Jour" numFmtId="16">
      <sharedItems containsSemiMixedTypes="0" containsNonDate="0" containsDate="1" containsString="0" minDate="2018-01-01T00:00:00" maxDate="2022-03-29T00:00:00" count="18">
        <d v="2022-03-28T00:00:00"/>
        <d v="2022-02-18T00:00:00"/>
        <d v="2022-02-28T00:00:00"/>
        <d v="2022-03-03T00:00:00"/>
        <d v="2022-03-04T00:00:00"/>
        <d v="2022-03-25T00:00:00"/>
        <d v="2022-03-24T00:00:00"/>
        <d v="2022-03-21T00:00:00"/>
        <d v="2022-03-18T00:00:00"/>
        <d v="2022-03-17T00:00:00"/>
        <d v="2022-03-14T00:00:00"/>
        <d v="2022-03-11T00:00:00"/>
        <d v="2022-03-10T00:00:00"/>
        <d v="2022-03-07T00:00:00"/>
        <d v="2018-02-02T00:00:00" u="1"/>
        <d v="2018-03-03T00:00:00" u="1"/>
        <d v="2018-04-04T00:00:00" u="1"/>
        <d v="2018-01-01T00:00:00" u="1"/>
      </sharedItems>
    </cacheField>
    <cacheField name="Semaine" numFmtId="1">
      <sharedItems containsSemiMixedTypes="0" containsString="0" containsNumber="1" containsInteger="1" minValue="8" maxValue="14"/>
    </cacheField>
    <cacheField name="Temps [h]" numFmtId="2">
      <sharedItems containsSemiMixedTypes="0" containsString="0" containsNumber="1" minValue="0.1" maxValue="6.4"/>
    </cacheField>
    <cacheField name="Type" numFmtId="0">
      <sharedItems count="5">
        <s v="Tests"/>
        <s v="Documentation"/>
        <s v="Implémentation"/>
        <s v="Aide "/>
        <s v="Analys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  <n v="14"/>
    <n v="1.3"/>
    <x v="0"/>
  </r>
  <r>
    <x v="0"/>
    <n v="14"/>
    <n v="1.3"/>
    <x v="1"/>
  </r>
  <r>
    <x v="0"/>
    <n v="14"/>
    <n v="3"/>
    <x v="0"/>
  </r>
  <r>
    <x v="1"/>
    <n v="8"/>
    <n v="0.2"/>
    <x v="1"/>
  </r>
  <r>
    <x v="1"/>
    <n v="8"/>
    <n v="0.1"/>
    <x v="1"/>
  </r>
  <r>
    <x v="1"/>
    <n v="8"/>
    <n v="1"/>
    <x v="1"/>
  </r>
  <r>
    <x v="2"/>
    <n v="10"/>
    <n v="0.15"/>
    <x v="1"/>
  </r>
  <r>
    <x v="2"/>
    <n v="10"/>
    <n v="0.35"/>
    <x v="2"/>
  </r>
  <r>
    <x v="2"/>
    <n v="10"/>
    <n v="0.5"/>
    <x v="1"/>
  </r>
  <r>
    <x v="2"/>
    <n v="10"/>
    <n v="4.5"/>
    <x v="2"/>
  </r>
  <r>
    <x v="2"/>
    <n v="10"/>
    <n v="1"/>
    <x v="0"/>
  </r>
  <r>
    <x v="3"/>
    <n v="10"/>
    <n v="0.1"/>
    <x v="1"/>
  </r>
  <r>
    <x v="3"/>
    <n v="10"/>
    <n v="1.2"/>
    <x v="2"/>
  </r>
  <r>
    <x v="4"/>
    <n v="10"/>
    <n v="0.1"/>
    <x v="1"/>
  </r>
  <r>
    <x v="4"/>
    <n v="10"/>
    <n v="1"/>
    <x v="2"/>
  </r>
  <r>
    <x v="4"/>
    <n v="10"/>
    <n v="0.2"/>
    <x v="2"/>
  </r>
  <r>
    <x v="5"/>
    <n v="13"/>
    <n v="0.3"/>
    <x v="0"/>
  </r>
  <r>
    <x v="5"/>
    <n v="13"/>
    <n v="0.3"/>
    <x v="1"/>
  </r>
  <r>
    <x v="5"/>
    <n v="13"/>
    <n v="1"/>
    <x v="2"/>
  </r>
  <r>
    <x v="6"/>
    <n v="13"/>
    <n v="0.2"/>
    <x v="1"/>
  </r>
  <r>
    <x v="6"/>
    <n v="13"/>
    <n v="0.6"/>
    <x v="0"/>
  </r>
  <r>
    <x v="6"/>
    <n v="13"/>
    <n v="0.5"/>
    <x v="1"/>
  </r>
  <r>
    <x v="7"/>
    <n v="13"/>
    <n v="0.1"/>
    <x v="1"/>
  </r>
  <r>
    <x v="7"/>
    <n v="13"/>
    <n v="0.4"/>
    <x v="2"/>
  </r>
  <r>
    <x v="7"/>
    <n v="13"/>
    <n v="6"/>
    <x v="2"/>
  </r>
  <r>
    <x v="8"/>
    <n v="12"/>
    <n v="0.1"/>
    <x v="1"/>
  </r>
  <r>
    <x v="8"/>
    <n v="12"/>
    <n v="0.2"/>
    <x v="3"/>
  </r>
  <r>
    <x v="8"/>
    <n v="12"/>
    <n v="1"/>
    <x v="2"/>
  </r>
  <r>
    <x v="9"/>
    <n v="12"/>
    <n v="0.1"/>
    <x v="1"/>
  </r>
  <r>
    <x v="9"/>
    <n v="12"/>
    <n v="0.4"/>
    <x v="2"/>
  </r>
  <r>
    <x v="9"/>
    <n v="12"/>
    <n v="0.4"/>
    <x v="2"/>
  </r>
  <r>
    <x v="9"/>
    <n v="12"/>
    <n v="0.4"/>
    <x v="2"/>
  </r>
  <r>
    <x v="10"/>
    <n v="12"/>
    <n v="0.1"/>
    <x v="1"/>
  </r>
  <r>
    <x v="10"/>
    <n v="12"/>
    <n v="6.4"/>
    <x v="2"/>
  </r>
  <r>
    <x v="11"/>
    <n v="11"/>
    <n v="0.2"/>
    <x v="1"/>
  </r>
  <r>
    <x v="11"/>
    <n v="11"/>
    <n v="0.4"/>
    <x v="2"/>
  </r>
  <r>
    <x v="11"/>
    <n v="11"/>
    <n v="0.3"/>
    <x v="3"/>
  </r>
  <r>
    <x v="11"/>
    <n v="11"/>
    <n v="0.4"/>
    <x v="2"/>
  </r>
  <r>
    <x v="12"/>
    <n v="11"/>
    <n v="0.1"/>
    <x v="1"/>
  </r>
  <r>
    <x v="12"/>
    <n v="11"/>
    <n v="1"/>
    <x v="2"/>
  </r>
  <r>
    <x v="12"/>
    <n v="11"/>
    <n v="0.2"/>
    <x v="3"/>
  </r>
  <r>
    <x v="13"/>
    <n v="11"/>
    <n v="5.4"/>
    <x v="2"/>
  </r>
  <r>
    <x v="13"/>
    <n v="11"/>
    <n v="0.3"/>
    <x v="3"/>
  </r>
  <r>
    <x v="13"/>
    <n v="11"/>
    <n v="0.2"/>
    <x v="0"/>
  </r>
  <r>
    <x v="13"/>
    <n v="11"/>
    <n v="0.3"/>
    <x v="1"/>
  </r>
  <r>
    <x v="13"/>
    <n v="11"/>
    <n v="0.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9" firstHeaderRow="1" firstDataRow="2" firstDataCol="1"/>
  <pivotFields count="4">
    <pivotField axis="axisRow" numFmtId="16" showAll="0">
      <items count="19">
        <item m="1" x="17"/>
        <item m="1" x="14"/>
        <item m="1" x="15"/>
        <item m="1" x="16"/>
        <item x="12"/>
        <item x="13"/>
        <item x="10"/>
        <item x="11"/>
        <item x="8"/>
        <item x="9"/>
        <item x="7"/>
        <item x="5"/>
        <item x="6"/>
        <item x="2"/>
        <item x="3"/>
        <item x="4"/>
        <item x="1"/>
        <item x="0"/>
        <item t="default"/>
      </items>
    </pivotField>
    <pivotField showAll="0"/>
    <pivotField dataField="1" showAll="0"/>
    <pivotField axis="axisCol" showAll="0">
      <items count="6">
        <item x="1"/>
        <item x="2"/>
        <item x="4"/>
        <item x="0"/>
        <item x="3"/>
        <item t="default"/>
      </items>
    </pivotField>
  </pivotFields>
  <rowFields count="1">
    <field x="0"/>
  </rowFields>
  <rowItems count="15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3"/>
  <sheetViews>
    <sheetView tabSelected="1" topLeftCell="A13" workbookViewId="0">
      <selection activeCell="F7" sqref="F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0" customFormat="1" ht="14.1" customHeight="1" x14ac:dyDescent="0.2">
      <c r="A1" s="28" t="s">
        <v>16</v>
      </c>
      <c r="B1" s="28"/>
      <c r="C1" s="28"/>
      <c r="D1" s="28"/>
      <c r="E1" s="28"/>
      <c r="F1" s="28"/>
    </row>
    <row r="2" spans="1:9" s="20" customFormat="1" ht="14.25" x14ac:dyDescent="0.2">
      <c r="A2" s="28"/>
      <c r="B2" s="28"/>
      <c r="C2" s="28"/>
      <c r="D2" s="28"/>
      <c r="E2" s="28"/>
      <c r="F2" s="28"/>
    </row>
    <row r="3" spans="1:9" s="20" customFormat="1" ht="24.95" customHeight="1" x14ac:dyDescent="0.2">
      <c r="E3" s="20" t="s">
        <v>14</v>
      </c>
      <c r="F3" s="21" t="s">
        <v>15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44648</v>
      </c>
      <c r="B7" s="18">
        <f t="shared" ref="B7" si="0">WEEKNUM(A7)</f>
        <v>14</v>
      </c>
      <c r="C7" s="11">
        <v>1.3</v>
      </c>
      <c r="D7" s="12" t="s">
        <v>11</v>
      </c>
      <c r="E7" s="13" t="s">
        <v>43</v>
      </c>
      <c r="F7" s="13" t="s">
        <v>44</v>
      </c>
      <c r="I7" s="14"/>
    </row>
    <row r="8" spans="1:9" x14ac:dyDescent="0.25">
      <c r="A8" s="6">
        <v>44648</v>
      </c>
      <c r="B8" s="18">
        <f t="shared" ref="B8" si="1">WEEKNUM(A8)</f>
        <v>14</v>
      </c>
      <c r="C8" s="11">
        <v>1.3</v>
      </c>
      <c r="D8" s="12" t="s">
        <v>12</v>
      </c>
      <c r="E8" s="13" t="s">
        <v>42</v>
      </c>
      <c r="F8" s="13"/>
      <c r="I8" s="14"/>
    </row>
    <row r="9" spans="1:9" x14ac:dyDescent="0.25">
      <c r="A9" s="6">
        <v>44648</v>
      </c>
      <c r="B9" s="18">
        <f t="shared" ref="B9" si="2">WEEKNUM(A9)</f>
        <v>14</v>
      </c>
      <c r="C9" s="11">
        <v>3</v>
      </c>
      <c r="D9" s="12" t="s">
        <v>11</v>
      </c>
      <c r="E9" s="13" t="s">
        <v>18</v>
      </c>
      <c r="F9" s="13" t="s">
        <v>41</v>
      </c>
      <c r="I9" s="14"/>
    </row>
    <row r="10" spans="1:9" x14ac:dyDescent="0.25">
      <c r="A10" s="6">
        <v>44610</v>
      </c>
      <c r="B10" s="18">
        <f t="shared" ref="B10" si="3">WEEKNUM(A10)</f>
        <v>8</v>
      </c>
      <c r="C10" s="11">
        <v>0.2</v>
      </c>
      <c r="D10" s="12" t="s">
        <v>12</v>
      </c>
      <c r="E10" s="13" t="s">
        <v>40</v>
      </c>
      <c r="F10" s="13"/>
      <c r="I10" s="14"/>
    </row>
    <row r="11" spans="1:9" x14ac:dyDescent="0.25">
      <c r="A11" s="6">
        <v>44610</v>
      </c>
      <c r="B11" s="18">
        <f t="shared" ref="B11" si="4">WEEKNUM(A11)</f>
        <v>8</v>
      </c>
      <c r="C11" s="11">
        <v>0.1</v>
      </c>
      <c r="D11" s="12" t="s">
        <v>12</v>
      </c>
      <c r="E11" s="13" t="s">
        <v>39</v>
      </c>
      <c r="F11" s="13"/>
      <c r="I11" s="14"/>
    </row>
    <row r="12" spans="1:9" x14ac:dyDescent="0.25">
      <c r="A12" s="6">
        <v>44610</v>
      </c>
      <c r="B12" s="18">
        <f t="shared" ref="B12" si="5">WEEKNUM(A12)</f>
        <v>8</v>
      </c>
      <c r="C12" s="11">
        <v>1</v>
      </c>
      <c r="D12" s="12" t="s">
        <v>12</v>
      </c>
      <c r="E12" s="13" t="s">
        <v>36</v>
      </c>
      <c r="F12" s="13"/>
      <c r="I12" s="14"/>
    </row>
    <row r="13" spans="1:9" x14ac:dyDescent="0.25">
      <c r="A13" s="6">
        <v>44620</v>
      </c>
      <c r="B13" s="18">
        <f t="shared" ref="B13" si="6">WEEKNUM(A13)</f>
        <v>10</v>
      </c>
      <c r="C13" s="11">
        <v>0.15</v>
      </c>
      <c r="D13" s="12" t="s">
        <v>12</v>
      </c>
      <c r="E13" s="13" t="s">
        <v>17</v>
      </c>
      <c r="F13" s="13"/>
      <c r="I13" s="14"/>
    </row>
    <row r="14" spans="1:9" x14ac:dyDescent="0.25">
      <c r="A14" s="6">
        <v>44620</v>
      </c>
      <c r="B14" s="18">
        <f t="shared" ref="B14" si="7">WEEKNUM(A14)</f>
        <v>10</v>
      </c>
      <c r="C14" s="11">
        <v>0.35</v>
      </c>
      <c r="D14" s="12" t="s">
        <v>10</v>
      </c>
      <c r="E14" s="13" t="s">
        <v>38</v>
      </c>
      <c r="F14" s="13"/>
      <c r="I14" s="14"/>
    </row>
    <row r="15" spans="1:9" x14ac:dyDescent="0.25">
      <c r="A15" s="6">
        <v>44620</v>
      </c>
      <c r="B15" s="18">
        <f t="shared" ref="B15" si="8">WEEKNUM(A15)</f>
        <v>10</v>
      </c>
      <c r="C15" s="11">
        <v>0.5</v>
      </c>
      <c r="D15" s="12" t="s">
        <v>12</v>
      </c>
      <c r="E15" s="13" t="s">
        <v>37</v>
      </c>
      <c r="F15" s="13"/>
      <c r="I15" s="14"/>
    </row>
    <row r="16" spans="1:9" x14ac:dyDescent="0.25">
      <c r="A16" s="6">
        <v>44620</v>
      </c>
      <c r="B16" s="18">
        <f t="shared" ref="B16" si="9">WEEKNUM(A16)</f>
        <v>10</v>
      </c>
      <c r="C16" s="11">
        <v>4.5</v>
      </c>
      <c r="D16" s="12" t="s">
        <v>10</v>
      </c>
      <c r="E16" s="13" t="s">
        <v>21</v>
      </c>
      <c r="F16" s="13"/>
      <c r="I16" s="14"/>
    </row>
    <row r="17" spans="1:9" x14ac:dyDescent="0.25">
      <c r="A17" s="6">
        <v>44620</v>
      </c>
      <c r="B17" s="18">
        <f t="shared" ref="B17" si="10">WEEKNUM(A17)</f>
        <v>10</v>
      </c>
      <c r="C17" s="11">
        <v>1</v>
      </c>
      <c r="D17" s="12" t="s">
        <v>11</v>
      </c>
      <c r="E17" s="13" t="s">
        <v>36</v>
      </c>
      <c r="F17" s="13"/>
      <c r="I17" s="14"/>
    </row>
    <row r="18" spans="1:9" x14ac:dyDescent="0.25">
      <c r="A18" s="6">
        <v>44623</v>
      </c>
      <c r="B18" s="18">
        <f t="shared" ref="B18" si="11">WEEKNUM(A18)</f>
        <v>10</v>
      </c>
      <c r="C18" s="11">
        <v>0.1</v>
      </c>
      <c r="D18" s="12" t="s">
        <v>12</v>
      </c>
      <c r="E18" s="13" t="s">
        <v>17</v>
      </c>
      <c r="F18" s="13"/>
      <c r="I18" s="14"/>
    </row>
    <row r="19" spans="1:9" x14ac:dyDescent="0.25">
      <c r="A19" s="6">
        <v>44623</v>
      </c>
      <c r="B19" s="18">
        <f t="shared" ref="B19" si="12">WEEKNUM(A19)</f>
        <v>10</v>
      </c>
      <c r="C19" s="11">
        <v>1.2</v>
      </c>
      <c r="D19" s="12" t="s">
        <v>10</v>
      </c>
      <c r="E19" s="13" t="s">
        <v>35</v>
      </c>
      <c r="F19" s="13"/>
      <c r="I19" s="14"/>
    </row>
    <row r="20" spans="1:9" x14ac:dyDescent="0.25">
      <c r="A20" s="6">
        <v>44624</v>
      </c>
      <c r="B20" s="18">
        <f t="shared" ref="B20" si="13">WEEKNUM(A20)</f>
        <v>10</v>
      </c>
      <c r="C20" s="11">
        <v>0.1</v>
      </c>
      <c r="D20" s="12" t="s">
        <v>12</v>
      </c>
      <c r="E20" s="13" t="s">
        <v>17</v>
      </c>
      <c r="F20" s="13"/>
      <c r="I20" s="14"/>
    </row>
    <row r="21" spans="1:9" x14ac:dyDescent="0.25">
      <c r="A21" s="6">
        <v>44624</v>
      </c>
      <c r="B21" s="18">
        <f t="shared" ref="B21" si="14">WEEKNUM(A21)</f>
        <v>10</v>
      </c>
      <c r="C21" s="11">
        <v>1</v>
      </c>
      <c r="D21" s="12" t="s">
        <v>10</v>
      </c>
      <c r="E21" s="13" t="s">
        <v>21</v>
      </c>
      <c r="F21" s="13"/>
      <c r="I21" s="14"/>
    </row>
    <row r="22" spans="1:9" x14ac:dyDescent="0.25">
      <c r="A22" s="6">
        <v>44624</v>
      </c>
      <c r="B22" s="18">
        <f t="shared" ref="B22" si="15">WEEKNUM(A22)</f>
        <v>10</v>
      </c>
      <c r="C22" s="11">
        <v>0.2</v>
      </c>
      <c r="D22" s="12" t="s">
        <v>10</v>
      </c>
      <c r="E22" s="13" t="s">
        <v>34</v>
      </c>
      <c r="F22" s="13"/>
      <c r="I22" s="14"/>
    </row>
    <row r="23" spans="1:9" x14ac:dyDescent="0.25">
      <c r="A23" s="6">
        <v>44645</v>
      </c>
      <c r="B23" s="18">
        <f t="shared" ref="B23" si="16">WEEKNUM(A23)</f>
        <v>13</v>
      </c>
      <c r="C23" s="11">
        <v>0.3</v>
      </c>
      <c r="D23" s="12" t="s">
        <v>11</v>
      </c>
      <c r="E23" s="13" t="s">
        <v>33</v>
      </c>
      <c r="F23" s="13"/>
      <c r="I23" s="14"/>
    </row>
    <row r="24" spans="1:9" x14ac:dyDescent="0.25">
      <c r="A24" s="6">
        <v>44645</v>
      </c>
      <c r="B24" s="18">
        <f t="shared" ref="B24" si="17">WEEKNUM(A24)</f>
        <v>13</v>
      </c>
      <c r="C24" s="11">
        <v>0.3</v>
      </c>
      <c r="D24" s="12" t="s">
        <v>12</v>
      </c>
      <c r="E24" s="13" t="s">
        <v>17</v>
      </c>
      <c r="F24" s="13"/>
      <c r="I24" s="14"/>
    </row>
    <row r="25" spans="1:9" x14ac:dyDescent="0.25">
      <c r="A25" s="6">
        <v>44645</v>
      </c>
      <c r="B25" s="18">
        <f t="shared" ref="B25" si="18">WEEKNUM(A25)</f>
        <v>13</v>
      </c>
      <c r="C25" s="11">
        <v>1</v>
      </c>
      <c r="D25" s="12" t="s">
        <v>10</v>
      </c>
      <c r="E25" s="13" t="s">
        <v>32</v>
      </c>
      <c r="F25" s="13"/>
      <c r="I25" s="14"/>
    </row>
    <row r="26" spans="1:9" x14ac:dyDescent="0.25">
      <c r="A26" s="6">
        <v>44644</v>
      </c>
      <c r="B26" s="18">
        <f t="shared" ref="B26" si="19">WEEKNUM(A26)</f>
        <v>13</v>
      </c>
      <c r="C26" s="11">
        <v>0.2</v>
      </c>
      <c r="D26" s="12" t="s">
        <v>12</v>
      </c>
      <c r="E26" s="13" t="s">
        <v>17</v>
      </c>
      <c r="F26" s="13"/>
      <c r="I26" s="14"/>
    </row>
    <row r="27" spans="1:9" x14ac:dyDescent="0.25">
      <c r="A27" s="6">
        <v>44644</v>
      </c>
      <c r="B27" s="18">
        <f t="shared" ref="B27" si="20">WEEKNUM(A27)</f>
        <v>13</v>
      </c>
      <c r="C27" s="11">
        <v>0.6</v>
      </c>
      <c r="D27" s="12" t="s">
        <v>11</v>
      </c>
      <c r="E27" s="13" t="s">
        <v>31</v>
      </c>
      <c r="F27" s="13"/>
      <c r="I27" s="14"/>
    </row>
    <row r="28" spans="1:9" x14ac:dyDescent="0.25">
      <c r="A28" s="6">
        <v>44644</v>
      </c>
      <c r="B28" s="18">
        <f t="shared" ref="B28" si="21">WEEKNUM(A28)</f>
        <v>13</v>
      </c>
      <c r="C28" s="11">
        <v>0.5</v>
      </c>
      <c r="D28" s="12" t="s">
        <v>12</v>
      </c>
      <c r="E28" s="13" t="s">
        <v>30</v>
      </c>
      <c r="F28" s="13"/>
      <c r="I28" s="14"/>
    </row>
    <row r="29" spans="1:9" x14ac:dyDescent="0.25">
      <c r="A29" s="6">
        <v>44641</v>
      </c>
      <c r="B29" s="18">
        <f t="shared" ref="B29" si="22">WEEKNUM(A29)</f>
        <v>13</v>
      </c>
      <c r="C29" s="11">
        <v>0.1</v>
      </c>
      <c r="D29" s="12" t="s">
        <v>12</v>
      </c>
      <c r="E29" s="13" t="s">
        <v>17</v>
      </c>
      <c r="F29" s="13"/>
      <c r="I29" s="14"/>
    </row>
    <row r="30" spans="1:9" x14ac:dyDescent="0.25">
      <c r="A30" s="6">
        <v>44641</v>
      </c>
      <c r="B30" s="18">
        <f t="shared" ref="B30" si="23">WEEKNUM(A30)</f>
        <v>13</v>
      </c>
      <c r="C30" s="11">
        <v>0.4</v>
      </c>
      <c r="D30" s="12" t="s">
        <v>10</v>
      </c>
      <c r="E30" s="13" t="s">
        <v>29</v>
      </c>
      <c r="F30" s="13"/>
      <c r="I30" s="14"/>
    </row>
    <row r="31" spans="1:9" x14ac:dyDescent="0.25">
      <c r="A31" s="6">
        <v>44641</v>
      </c>
      <c r="B31" s="18">
        <f t="shared" ref="B31" si="24">WEEKNUM(A31)</f>
        <v>13</v>
      </c>
      <c r="C31" s="11">
        <v>6</v>
      </c>
      <c r="D31" s="12" t="s">
        <v>10</v>
      </c>
      <c r="E31" s="13" t="s">
        <v>28</v>
      </c>
      <c r="F31" s="13"/>
      <c r="I31" s="14"/>
    </row>
    <row r="32" spans="1:9" x14ac:dyDescent="0.25">
      <c r="A32" s="6">
        <v>44638</v>
      </c>
      <c r="B32" s="18">
        <f t="shared" ref="B32" si="25">WEEKNUM(A32)</f>
        <v>12</v>
      </c>
      <c r="C32" s="11">
        <v>0.1</v>
      </c>
      <c r="D32" s="12" t="s">
        <v>12</v>
      </c>
      <c r="E32" s="13" t="s">
        <v>17</v>
      </c>
      <c r="F32" s="13"/>
      <c r="I32" s="14"/>
    </row>
    <row r="33" spans="1:9" x14ac:dyDescent="0.25">
      <c r="A33" s="6">
        <v>44638</v>
      </c>
      <c r="B33" s="18">
        <f t="shared" ref="B33" si="26">WEEKNUM(A33)</f>
        <v>12</v>
      </c>
      <c r="C33" s="11">
        <v>0.2</v>
      </c>
      <c r="D33" s="12" t="s">
        <v>22</v>
      </c>
      <c r="E33" s="13" t="s">
        <v>20</v>
      </c>
      <c r="F33" s="13"/>
      <c r="I33" s="14"/>
    </row>
    <row r="34" spans="1:9" x14ac:dyDescent="0.25">
      <c r="A34" s="6">
        <v>44638</v>
      </c>
      <c r="B34" s="18">
        <f t="shared" ref="B34" si="27">WEEKNUM(A34)</f>
        <v>12</v>
      </c>
      <c r="C34" s="11">
        <v>1</v>
      </c>
      <c r="D34" s="12" t="s">
        <v>10</v>
      </c>
      <c r="E34" s="13" t="s">
        <v>27</v>
      </c>
      <c r="F34" s="13"/>
      <c r="I34" s="14"/>
    </row>
    <row r="35" spans="1:9" x14ac:dyDescent="0.25">
      <c r="A35" s="6">
        <v>44637</v>
      </c>
      <c r="B35" s="18">
        <f t="shared" ref="B35" si="28">WEEKNUM(A35)</f>
        <v>12</v>
      </c>
      <c r="C35" s="11">
        <v>0.1</v>
      </c>
      <c r="D35" s="12" t="s">
        <v>12</v>
      </c>
      <c r="E35" s="13" t="s">
        <v>17</v>
      </c>
      <c r="F35" s="13"/>
      <c r="I35" s="14"/>
    </row>
    <row r="36" spans="1:9" x14ac:dyDescent="0.25">
      <c r="A36" s="6">
        <v>44637</v>
      </c>
      <c r="B36" s="18">
        <f t="shared" ref="B36" si="29">WEEKNUM(A36)</f>
        <v>12</v>
      </c>
      <c r="C36" s="11">
        <v>0.4</v>
      </c>
      <c r="D36" s="12" t="s">
        <v>10</v>
      </c>
      <c r="E36" s="13" t="s">
        <v>26</v>
      </c>
      <c r="F36" s="13"/>
      <c r="I36" s="14"/>
    </row>
    <row r="37" spans="1:9" x14ac:dyDescent="0.25">
      <c r="A37" s="6">
        <v>44637</v>
      </c>
      <c r="B37" s="18">
        <f t="shared" ref="B37" si="30">WEEKNUM(A37)</f>
        <v>12</v>
      </c>
      <c r="C37" s="11">
        <v>0.4</v>
      </c>
      <c r="D37" s="12" t="s">
        <v>10</v>
      </c>
      <c r="E37" s="13" t="s">
        <v>25</v>
      </c>
      <c r="F37" s="13"/>
      <c r="I37" s="14"/>
    </row>
    <row r="38" spans="1:9" x14ac:dyDescent="0.25">
      <c r="A38" s="6">
        <v>44637</v>
      </c>
      <c r="B38" s="18">
        <f t="shared" ref="B38" si="31">WEEKNUM(A38)</f>
        <v>12</v>
      </c>
      <c r="C38" s="11">
        <v>0.4</v>
      </c>
      <c r="D38" s="12" t="s">
        <v>10</v>
      </c>
      <c r="E38" s="13" t="s">
        <v>24</v>
      </c>
      <c r="F38" s="13"/>
      <c r="I38" s="14"/>
    </row>
    <row r="39" spans="1:9" x14ac:dyDescent="0.25">
      <c r="A39" s="6">
        <v>44634</v>
      </c>
      <c r="B39" s="18">
        <f t="shared" ref="B39" si="32">WEEKNUM(A39)</f>
        <v>12</v>
      </c>
      <c r="C39" s="11">
        <v>0.1</v>
      </c>
      <c r="D39" s="12" t="s">
        <v>12</v>
      </c>
      <c r="E39" s="13" t="s">
        <v>17</v>
      </c>
      <c r="F39" s="13"/>
      <c r="I39" s="14"/>
    </row>
    <row r="40" spans="1:9" x14ac:dyDescent="0.25">
      <c r="A40" s="6">
        <v>44634</v>
      </c>
      <c r="B40" s="18">
        <f t="shared" ref="B40" si="33">WEEKNUM(A40)</f>
        <v>12</v>
      </c>
      <c r="C40" s="11">
        <v>6.4</v>
      </c>
      <c r="D40" s="12" t="s">
        <v>10</v>
      </c>
      <c r="E40" s="13" t="s">
        <v>21</v>
      </c>
      <c r="F40" s="13"/>
      <c r="I40" s="14"/>
    </row>
    <row r="41" spans="1:9" x14ac:dyDescent="0.25">
      <c r="A41" s="6">
        <v>44631</v>
      </c>
      <c r="B41" s="18">
        <f t="shared" ref="B41" si="34">WEEKNUM(A41)</f>
        <v>11</v>
      </c>
      <c r="C41" s="11">
        <v>0.2</v>
      </c>
      <c r="D41" s="12" t="s">
        <v>12</v>
      </c>
      <c r="E41" s="13" t="s">
        <v>17</v>
      </c>
      <c r="F41" s="13"/>
      <c r="I41" s="14"/>
    </row>
    <row r="42" spans="1:9" x14ac:dyDescent="0.25">
      <c r="A42" s="6">
        <v>44631</v>
      </c>
      <c r="B42" s="18">
        <f t="shared" ref="B42" si="35">WEEKNUM(A42)</f>
        <v>11</v>
      </c>
      <c r="C42" s="11">
        <v>0.4</v>
      </c>
      <c r="D42" s="12" t="s">
        <v>10</v>
      </c>
      <c r="E42" s="13" t="s">
        <v>21</v>
      </c>
      <c r="F42" s="13"/>
      <c r="I42" s="14"/>
    </row>
    <row r="43" spans="1:9" x14ac:dyDescent="0.25">
      <c r="A43" s="6">
        <v>44631</v>
      </c>
      <c r="B43" s="18">
        <f t="shared" ref="B43" si="36">WEEKNUM(A43)</f>
        <v>11</v>
      </c>
      <c r="C43" s="11">
        <v>0.3</v>
      </c>
      <c r="D43" s="12" t="s">
        <v>22</v>
      </c>
      <c r="E43" s="13" t="s">
        <v>20</v>
      </c>
      <c r="F43" s="13"/>
      <c r="I43" s="14"/>
    </row>
    <row r="44" spans="1:9" x14ac:dyDescent="0.25">
      <c r="A44" s="6">
        <v>44631</v>
      </c>
      <c r="B44" s="18">
        <f t="shared" ref="B44" si="37">WEEKNUM(A44)</f>
        <v>11</v>
      </c>
      <c r="C44" s="11">
        <v>0.4</v>
      </c>
      <c r="D44" s="12" t="s">
        <v>10</v>
      </c>
      <c r="E44" s="13" t="s">
        <v>23</v>
      </c>
      <c r="F44" s="13"/>
      <c r="I44" s="14"/>
    </row>
    <row r="45" spans="1:9" x14ac:dyDescent="0.25">
      <c r="A45" s="6">
        <v>44630</v>
      </c>
      <c r="B45" s="18">
        <f t="shared" ref="B45" si="38">WEEKNUM(A45)</f>
        <v>11</v>
      </c>
      <c r="C45" s="11">
        <v>0.1</v>
      </c>
      <c r="D45" s="12" t="s">
        <v>12</v>
      </c>
      <c r="E45" s="13" t="s">
        <v>17</v>
      </c>
      <c r="F45" s="13"/>
      <c r="I45" s="14"/>
    </row>
    <row r="46" spans="1:9" x14ac:dyDescent="0.25">
      <c r="A46" s="6">
        <v>44630</v>
      </c>
      <c r="B46" s="18">
        <f t="shared" ref="B46" si="39">WEEKNUM(A46)</f>
        <v>11</v>
      </c>
      <c r="C46" s="11">
        <v>1</v>
      </c>
      <c r="D46" s="12" t="s">
        <v>10</v>
      </c>
      <c r="E46" s="13" t="s">
        <v>21</v>
      </c>
      <c r="F46" s="13"/>
      <c r="I46" s="14"/>
    </row>
    <row r="47" spans="1:9" x14ac:dyDescent="0.25">
      <c r="A47" s="6">
        <v>44630</v>
      </c>
      <c r="B47" s="18">
        <f t="shared" ref="B47" si="40">WEEKNUM(A47)</f>
        <v>11</v>
      </c>
      <c r="C47" s="11">
        <v>0.2</v>
      </c>
      <c r="D47" s="12" t="s">
        <v>22</v>
      </c>
      <c r="E47" s="13" t="s">
        <v>20</v>
      </c>
      <c r="F47" s="13"/>
      <c r="I47" s="14"/>
    </row>
    <row r="48" spans="1:9" x14ac:dyDescent="0.25">
      <c r="A48" s="6">
        <v>44627</v>
      </c>
      <c r="B48" s="18">
        <f t="shared" ref="B48" si="41">WEEKNUM(A48)</f>
        <v>11</v>
      </c>
      <c r="C48" s="11">
        <v>5.4</v>
      </c>
      <c r="D48" s="12" t="s">
        <v>10</v>
      </c>
      <c r="E48" s="13" t="s">
        <v>21</v>
      </c>
      <c r="F48" s="13"/>
      <c r="I48" s="14"/>
    </row>
    <row r="49" spans="1:9" x14ac:dyDescent="0.25">
      <c r="A49" s="6">
        <v>44627</v>
      </c>
      <c r="B49" s="18">
        <f t="shared" ref="B49" si="42">WEEKNUM(A49)</f>
        <v>11</v>
      </c>
      <c r="C49" s="11">
        <v>0.3</v>
      </c>
      <c r="D49" s="12" t="s">
        <v>22</v>
      </c>
      <c r="E49" s="13" t="s">
        <v>20</v>
      </c>
      <c r="F49" s="13"/>
      <c r="I49" s="14"/>
    </row>
    <row r="50" spans="1:9" x14ac:dyDescent="0.25">
      <c r="A50" s="6">
        <v>44627</v>
      </c>
      <c r="B50" s="18">
        <f t="shared" ref="B50" si="43">WEEKNUM(A50)</f>
        <v>11</v>
      </c>
      <c r="C50" s="11">
        <v>0.2</v>
      </c>
      <c r="D50" s="12" t="s">
        <v>11</v>
      </c>
      <c r="E50" s="13" t="s">
        <v>18</v>
      </c>
      <c r="F50" s="13"/>
      <c r="I50" s="14"/>
    </row>
    <row r="51" spans="1:9" x14ac:dyDescent="0.25">
      <c r="A51" s="6">
        <v>44627</v>
      </c>
      <c r="B51" s="18">
        <f t="shared" ref="B51" si="44">WEEKNUM(A51)</f>
        <v>11</v>
      </c>
      <c r="C51" s="11">
        <v>0.3</v>
      </c>
      <c r="D51" s="12" t="s">
        <v>12</v>
      </c>
      <c r="E51" s="13" t="s">
        <v>17</v>
      </c>
      <c r="F51" s="13"/>
      <c r="I51" s="14"/>
    </row>
    <row r="52" spans="1:9" x14ac:dyDescent="0.25">
      <c r="A52" s="6">
        <v>44627</v>
      </c>
      <c r="B52" s="18">
        <f t="shared" ref="B52" si="45">WEEKNUM(A52)</f>
        <v>11</v>
      </c>
      <c r="C52" s="11">
        <v>0.3</v>
      </c>
      <c r="D52" s="12" t="s">
        <v>6</v>
      </c>
      <c r="E52" s="13" t="s">
        <v>19</v>
      </c>
      <c r="F52" s="13"/>
      <c r="I52" s="14"/>
    </row>
    <row r="53" spans="1:9" x14ac:dyDescent="0.25">
      <c r="A53" s="23"/>
      <c r="B53" s="24"/>
      <c r="C53" s="25"/>
      <c r="D53" s="26"/>
      <c r="E53" s="27"/>
      <c r="F53" s="27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9"/>
  <sheetViews>
    <sheetView tabSelected="1" workbookViewId="0">
      <selection activeCell="F7" sqref="F7"/>
    </sheetView>
  </sheetViews>
  <sheetFormatPr baseColWidth="10" defaultColWidth="11.42578125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6" width="5.57031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7</v>
      </c>
    </row>
    <row r="4" spans="1:7" x14ac:dyDescent="0.25">
      <c r="B4" t="s">
        <v>12</v>
      </c>
      <c r="C4" t="s">
        <v>10</v>
      </c>
      <c r="D4" t="s">
        <v>6</v>
      </c>
      <c r="E4" t="s">
        <v>11</v>
      </c>
      <c r="F4" t="s">
        <v>22</v>
      </c>
      <c r="G4" t="s">
        <v>8</v>
      </c>
    </row>
    <row r="5" spans="1:7" x14ac:dyDescent="0.25">
      <c r="A5" s="4">
        <v>44630</v>
      </c>
      <c r="B5" s="22">
        <v>0.1</v>
      </c>
      <c r="C5" s="22">
        <v>1</v>
      </c>
      <c r="D5" s="22"/>
      <c r="E5" s="22"/>
      <c r="F5" s="22">
        <v>0.2</v>
      </c>
      <c r="G5" s="22">
        <v>1.3</v>
      </c>
    </row>
    <row r="6" spans="1:7" x14ac:dyDescent="0.25">
      <c r="A6" s="4">
        <v>44627</v>
      </c>
      <c r="B6" s="22">
        <v>0.3</v>
      </c>
      <c r="C6" s="22">
        <v>5.4</v>
      </c>
      <c r="D6" s="22">
        <v>0.3</v>
      </c>
      <c r="E6" s="22">
        <v>0.2</v>
      </c>
      <c r="F6" s="22">
        <v>0.3</v>
      </c>
      <c r="G6" s="22">
        <v>6.5</v>
      </c>
    </row>
    <row r="7" spans="1:7" x14ac:dyDescent="0.25">
      <c r="A7" s="4">
        <v>44634</v>
      </c>
      <c r="B7" s="22">
        <v>0.1</v>
      </c>
      <c r="C7" s="22">
        <v>6.4</v>
      </c>
      <c r="D7" s="22"/>
      <c r="E7" s="22"/>
      <c r="F7" s="22"/>
      <c r="G7" s="22">
        <v>6.5</v>
      </c>
    </row>
    <row r="8" spans="1:7" x14ac:dyDescent="0.25">
      <c r="A8" s="4">
        <v>44631</v>
      </c>
      <c r="B8" s="22">
        <v>0.2</v>
      </c>
      <c r="C8" s="22">
        <v>0.8</v>
      </c>
      <c r="D8" s="22"/>
      <c r="E8" s="22"/>
      <c r="F8" s="22">
        <v>0.3</v>
      </c>
      <c r="G8" s="22">
        <v>1.3</v>
      </c>
    </row>
    <row r="9" spans="1:7" x14ac:dyDescent="0.25">
      <c r="A9" s="4">
        <v>44638</v>
      </c>
      <c r="B9" s="22">
        <v>0.1</v>
      </c>
      <c r="C9" s="22">
        <v>1</v>
      </c>
      <c r="D9" s="22"/>
      <c r="E9" s="22"/>
      <c r="F9" s="22">
        <v>0.2</v>
      </c>
      <c r="G9" s="22">
        <v>1.3</v>
      </c>
    </row>
    <row r="10" spans="1:7" x14ac:dyDescent="0.25">
      <c r="A10" s="4">
        <v>44637</v>
      </c>
      <c r="B10" s="22">
        <v>0.1</v>
      </c>
      <c r="C10" s="22">
        <v>1.2000000000000002</v>
      </c>
      <c r="D10" s="22"/>
      <c r="E10" s="22"/>
      <c r="F10" s="22"/>
      <c r="G10" s="22">
        <v>1.3000000000000003</v>
      </c>
    </row>
    <row r="11" spans="1:7" x14ac:dyDescent="0.25">
      <c r="A11" s="4">
        <v>44641</v>
      </c>
      <c r="B11" s="22">
        <v>0.1</v>
      </c>
      <c r="C11" s="22">
        <v>6.4</v>
      </c>
      <c r="D11" s="22"/>
      <c r="E11" s="22"/>
      <c r="F11" s="22"/>
      <c r="G11" s="22">
        <v>6.5</v>
      </c>
    </row>
    <row r="12" spans="1:7" x14ac:dyDescent="0.25">
      <c r="A12" s="4">
        <v>44645</v>
      </c>
      <c r="B12" s="22">
        <v>0.3</v>
      </c>
      <c r="C12" s="22">
        <v>1</v>
      </c>
      <c r="D12" s="22"/>
      <c r="E12" s="22">
        <v>0.3</v>
      </c>
      <c r="F12" s="22"/>
      <c r="G12" s="22">
        <v>1.6</v>
      </c>
    </row>
    <row r="13" spans="1:7" x14ac:dyDescent="0.25">
      <c r="A13" s="4">
        <v>44644</v>
      </c>
      <c r="B13" s="22">
        <v>0.7</v>
      </c>
      <c r="C13" s="22"/>
      <c r="D13" s="22"/>
      <c r="E13" s="22">
        <v>0.6</v>
      </c>
      <c r="F13" s="22"/>
      <c r="G13" s="22">
        <v>1.2999999999999998</v>
      </c>
    </row>
    <row r="14" spans="1:7" x14ac:dyDescent="0.25">
      <c r="A14" s="4">
        <v>44620</v>
      </c>
      <c r="B14" s="22">
        <v>0.65</v>
      </c>
      <c r="C14" s="22">
        <v>4.8499999999999996</v>
      </c>
      <c r="D14" s="22"/>
      <c r="E14" s="22">
        <v>1</v>
      </c>
      <c r="F14" s="22"/>
      <c r="G14" s="22">
        <v>6.5</v>
      </c>
    </row>
    <row r="15" spans="1:7" x14ac:dyDescent="0.25">
      <c r="A15" s="4">
        <v>44623</v>
      </c>
      <c r="B15" s="22">
        <v>0.1</v>
      </c>
      <c r="C15" s="22">
        <v>1.2</v>
      </c>
      <c r="D15" s="22"/>
      <c r="E15" s="22"/>
      <c r="F15" s="22"/>
      <c r="G15" s="22">
        <v>1.3</v>
      </c>
    </row>
    <row r="16" spans="1:7" x14ac:dyDescent="0.25">
      <c r="A16" s="4">
        <v>44624</v>
      </c>
      <c r="B16" s="22">
        <v>0.1</v>
      </c>
      <c r="C16" s="22">
        <v>1.2</v>
      </c>
      <c r="D16" s="22"/>
      <c r="E16" s="22"/>
      <c r="F16" s="22"/>
      <c r="G16" s="22">
        <v>1.3</v>
      </c>
    </row>
    <row r="17" spans="1:7" x14ac:dyDescent="0.25">
      <c r="A17" s="4">
        <v>44610</v>
      </c>
      <c r="B17" s="22">
        <v>1.3</v>
      </c>
      <c r="C17" s="22"/>
      <c r="D17" s="22"/>
      <c r="E17" s="22"/>
      <c r="F17" s="22"/>
      <c r="G17" s="22">
        <v>1.3</v>
      </c>
    </row>
    <row r="18" spans="1:7" x14ac:dyDescent="0.25">
      <c r="A18" s="4">
        <v>44648</v>
      </c>
      <c r="B18" s="22">
        <v>1.3</v>
      </c>
      <c r="C18" s="22"/>
      <c r="D18" s="22"/>
      <c r="E18" s="22">
        <v>4.3</v>
      </c>
      <c r="F18" s="22"/>
      <c r="G18" s="22">
        <v>5.6</v>
      </c>
    </row>
    <row r="19" spans="1:7" x14ac:dyDescent="0.25">
      <c r="A19" s="4" t="s">
        <v>8</v>
      </c>
      <c r="B19" s="22">
        <v>5.45</v>
      </c>
      <c r="C19" s="22">
        <v>30.450000000000003</v>
      </c>
      <c r="D19" s="22">
        <v>0.3</v>
      </c>
      <c r="E19" s="22">
        <v>6.4</v>
      </c>
      <c r="F19" s="22">
        <v>1</v>
      </c>
      <c r="G19" s="22">
        <v>43.6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tabSelected="1" workbookViewId="0">
      <selection activeCell="F7" sqref="F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t="s">
        <v>22</v>
      </c>
    </row>
    <row r="4" spans="1:1" x14ac:dyDescent="0.25">
      <c r="A4" s="1" t="s">
        <v>10</v>
      </c>
    </row>
    <row r="5" spans="1:1" x14ac:dyDescent="0.25">
      <c r="A5" s="1" t="s">
        <v>11</v>
      </c>
    </row>
    <row r="6" spans="1:1" x14ac:dyDescent="0.25">
      <c r="A6" s="1" t="s">
        <v>12</v>
      </c>
    </row>
    <row r="7" spans="1:1" x14ac:dyDescent="0.25">
      <c r="A7" s="1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7</xdr:row>
                    <xdr:rowOff>28575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0119da2b-60ce-4773-88fa-ebab2cde1f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2022-04-01T09:31:17Z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